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st Mode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<sst xmlns="http://schemas.openxmlformats.org/spreadsheetml/2006/main" count="179" uniqueCount="150">
  <si>
    <t xml:space="preserve">Automated Light Metro - Reference Capital Cost Model</t>
  </si>
  <si>
    <t xml:space="preserve">MECE unit rates - low-cost, mostly-elevated GoA4 line at high-wage / best-international-standard cost levels - Constant 2026 prices - US$ millions (from EUR at 1.14, rounded) - Blue = editable input - Peach = scales with fleet</t>
  </si>
  <si>
    <t xml:space="preserve">Calibration basis: 4-car REM (Montreal) train - Alstom Metropolis, 76.2 m long / 2.94 m wide, GoA4 driverless, 1,500 V OCS, ~600 (design) / 780 (max) pax per train. Elevated stations assumed LEAN/spare (76 m platform).</t>
  </si>
  <si>
    <t xml:space="preserve">1 - LINE PARAMETERS  (enter the physical characteristics of your line)</t>
  </si>
  <si>
    <t xml:space="preserve">Parameter</t>
  </si>
  <si>
    <t xml:space="preserve">Unit</t>
  </si>
  <si>
    <t xml:space="preserve">Value</t>
  </si>
  <si>
    <t xml:space="preserve">Elevated viaduct alignment</t>
  </si>
  <si>
    <t xml:space="preserve">km</t>
  </si>
  <si>
    <t xml:space="preserve">At-grade alignment</t>
  </si>
  <si>
    <t xml:space="preserve">Cut-and-cover tunnel</t>
  </si>
  <si>
    <t xml:space="preserve">Bored tunnel (TBM, twin bore)</t>
  </si>
  <si>
    <t xml:space="preserve">TOTAL route length</t>
  </si>
  <si>
    <t xml:space="preserve">Elevated stations</t>
  </si>
  <si>
    <t xml:space="preserve">no.</t>
  </si>
  <si>
    <t xml:space="preserve">Underground stations</t>
  </si>
  <si>
    <t xml:space="preserve">TOTAL stations</t>
  </si>
  <si>
    <t xml:space="preserve">Revenue fleet size</t>
  </si>
  <si>
    <t xml:space="preserve">cars</t>
  </si>
  <si>
    <t xml:space="preserve">Depots</t>
  </si>
  <si>
    <t xml:space="preserve">REFERENCE TRAIN  (calibration - drives station platform length, PSD &amp; rolling stock)</t>
  </si>
  <si>
    <t xml:space="preserve">Cars per peak train</t>
  </si>
  <si>
    <t xml:space="preserve">REM: 4-car peak, 2-car off-peak</t>
  </si>
  <si>
    <t xml:space="preserve">Platform length</t>
  </si>
  <si>
    <t xml:space="preserve">m</t>
  </si>
  <si>
    <t xml:space="preserve">REM 4-car = 76.2 m; sets station &amp; PSD size</t>
  </si>
  <si>
    <t xml:space="preserve">Capacity per 4-car train</t>
  </si>
  <si>
    <t xml:space="preserve">pax</t>
  </si>
  <si>
    <t xml:space="preserve">REM design load (~780 crush)</t>
  </si>
  <si>
    <t xml:space="preserve">4-car train-sets in fleet</t>
  </si>
  <si>
    <t xml:space="preserve">sets</t>
  </si>
  <si>
    <t xml:space="preserve">fleet / cars-per-train (info only)</t>
  </si>
  <si>
    <t xml:space="preserve">2 - COST BUILD-UP  (linear:  Amount = Unit rate x Quantity)</t>
  </si>
  <si>
    <t xml:space="preserve">Cost item</t>
  </si>
  <si>
    <t xml:space="preserve">Rate ($M)</t>
  </si>
  <si>
    <t xml:space="preserve">Qty</t>
  </si>
  <si>
    <t xml:space="preserve">Amount ($M)</t>
  </si>
  <si>
    <t xml:space="preserve">Primary source</t>
  </si>
  <si>
    <t xml:space="preserve">Context sensitivity - what drives it</t>
  </si>
  <si>
    <t xml:space="preserve">Civil &amp; alignment</t>
  </si>
  <si>
    <t xml:space="preserve">Elevated viaduct - incl. deck through stations</t>
  </si>
  <si>
    <t xml:space="preserve">per km</t>
  </si>
  <si>
    <t xml:space="preserve">REM Montreal; Flyvbjerg/Halcrow-Fox</t>
  </si>
  <si>
    <t xml:space="preserve">Span, pier height, seismic zone, aesthetics</t>
  </si>
  <si>
    <t xml:space="preserve">At-grade formation - earthworks, drainage, fence</t>
  </si>
  <si>
    <t xml:space="preserve">Eno database; Flyvbjerg base</t>
  </si>
  <si>
    <t xml:space="preserve">Terrain, land width, drainage</t>
  </si>
  <si>
    <t xml:space="preserve">Cut-and-cover box tunnel</t>
  </si>
  <si>
    <t xml:space="preserve">Flyvbjerg (UG 4-6x at-grade)</t>
  </si>
  <si>
    <t xml:space="preserve">Depth, road width, utilities above</t>
  </si>
  <si>
    <t xml:space="preserve">Bored tunnel - twin bore, excl. station boxes</t>
  </si>
  <si>
    <t xml:space="preserve">Transit Costs Project (Milan/Istanbul)</t>
  </si>
  <si>
    <t xml:space="preserve">Geology, groundwater, cover depth</t>
  </si>
  <si>
    <t xml:space="preserve">Permanent way</t>
  </si>
  <si>
    <t xml:space="preserve">Ballastless track - twin, mainline</t>
  </si>
  <si>
    <t xml:space="preserve">per route-km</t>
  </si>
  <si>
    <t xml:space="preserve">India MoHUA benchmark</t>
  </si>
  <si>
    <t xml:space="preserve">Slab vs floating slab (noise)</t>
  </si>
  <si>
    <t xml:space="preserve">Stations (structure &amp; fit-out only)</t>
  </si>
  <si>
    <t xml:space="preserve">Elevated station - LEAN/spare, 76 m platform (4-car REM)</t>
  </si>
  <si>
    <t xml:space="preserve">per station</t>
  </si>
  <si>
    <t xml:space="preserve">REM aerial stns; Eno (stns ~25%)</t>
  </si>
  <si>
    <t xml:space="preserve">Enclosure (winter), architecture, interchange</t>
  </si>
  <si>
    <t xml:space="preserve">Underground station - cut-and-cover box, ECS/TVS</t>
  </si>
  <si>
    <t xml:space="preserve">Pedestrian Obs (Paris E80-120M/stn)</t>
  </si>
  <si>
    <t xml:space="preserve">Depth, cut-cover vs mined, 76 m platform</t>
  </si>
  <si>
    <t xml:space="preserve">Traction &amp; power</t>
  </si>
  <si>
    <t xml:space="preserve">Traction power - 1,500 V OCS, substations, HV, SCADA</t>
  </si>
  <si>
    <t xml:space="preserve">MoHUA; REM (1,500 V OCS)</t>
  </si>
  <si>
    <t xml:space="preserve">OCS (REM) vs 3rd rail; grid intake distance</t>
  </si>
  <si>
    <t xml:space="preserve">Signalling &amp; control</t>
  </si>
  <si>
    <t xml:space="preserve">CBTC / ATC GoA4 - wayside only (on-board in fleet)</t>
  </si>
  <si>
    <t xml:space="preserve">Alstom REM Urbalis 400; MTA bench</t>
  </si>
  <si>
    <t xml:space="preserve">Supplier, headway target, interlocking</t>
  </si>
  <si>
    <t xml:space="preserve">Operations &amp; backup control centres (OCC + BCC)</t>
  </si>
  <si>
    <t xml:space="preserve">per line</t>
  </si>
  <si>
    <t xml:space="preserve">Alstom REM Iconis control centre</t>
  </si>
  <si>
    <t xml:space="preserve">Shared across lines? then allocate</t>
  </si>
  <si>
    <t xml:space="preserve">Platform &amp; fare systems</t>
  </si>
  <si>
    <t xml:space="preserve">Platform screen doors - full height, 76 m platform</t>
  </si>
  <si>
    <t xml:space="preserve">Alstom REM PSD (installed)</t>
  </si>
  <si>
    <t xml:space="preserve">Full vs half height; platform length</t>
  </si>
  <si>
    <t xml:space="preserve">Telecommunications - FO, PA/PIS, CCTV, radio</t>
  </si>
  <si>
    <t xml:space="preserve">MoHUA benchmark</t>
  </si>
  <si>
    <t xml:space="preserve">Scope of PIS/CCTV, cyber</t>
  </si>
  <si>
    <t xml:space="preserve">Automatic fare collection</t>
  </si>
  <si>
    <t xml:space="preserve">Gated vs open; account-based ticketing</t>
  </si>
  <si>
    <t xml:space="preserve">Fleet &amp; fleet-scaling  (all per car - 4-car REM basis)</t>
  </si>
  <si>
    <t xml:space="preserve">Driverless car - 4-car REM Metropolis (GoA4, on-board ATC)</t>
  </si>
  <si>
    <t xml:space="preserve">per car</t>
  </si>
  <si>
    <t xml:space="preserve">Alstom REM MRSEM contract (212 cars)</t>
  </si>
  <si>
    <t xml:space="preserve">2.94 m wide; India-built (lower); order size</t>
  </si>
  <si>
    <t xml:space="preserve">Depot stabling &amp; inspection provision</t>
  </si>
  <si>
    <t xml:space="preserve">MoHUA depot split (fleet-variable part)</t>
  </si>
  <si>
    <t xml:space="preserve">Stabling roads &gt;=76 m; light-maint bays</t>
  </si>
  <si>
    <t xml:space="preserve">Initial spares, special tools &amp; staff training</t>
  </si>
  <si>
    <t xml:space="preserve">Industry norm ~8% of rolling stock</t>
  </si>
  <si>
    <t xml:space="preserve">Warranty terms, local training needs</t>
  </si>
  <si>
    <t xml:space="preserve">Depot - fixed (independent of fleet)</t>
  </si>
  <si>
    <t xml:space="preserve">Depot civil &amp; buildings - workshop, admin, sheds</t>
  </si>
  <si>
    <t xml:space="preserve">per depot</t>
  </si>
  <si>
    <t xml:space="preserve">MoHUA depot civil</t>
  </si>
  <si>
    <t xml:space="preserve">Site prep, ground, flood works</t>
  </si>
  <si>
    <t xml:space="preserve">Depot plant &amp; machinery - wheel lathe, lifts, wash</t>
  </si>
  <si>
    <t xml:space="preserve">MoHUA depot E&amp;M; Alstom REM depot kit</t>
  </si>
  <si>
    <t xml:space="preserve">Heavy-maint scope; can share w/ 2nd line</t>
  </si>
  <si>
    <t xml:space="preserve">Corridor preparation</t>
  </si>
  <si>
    <t xml:space="preserve">Utilities diversion &amp; enabling works</t>
  </si>
  <si>
    <t xml:space="preserve">MoHUA (utility shifting/RKM)</t>
  </si>
  <si>
    <t xml:space="preserve">~0 elevated in clean ROW; high in old CBD</t>
  </si>
  <si>
    <t xml:space="preserve">Direct capital subtotal</t>
  </si>
  <si>
    <t xml:space="preserve">3 - MARK-UPS  (applied to direct subtotal - model stays linear)</t>
  </si>
  <si>
    <t xml:space="preserve">Design, engineering &amp; project/construction management</t>
  </si>
  <si>
    <t xml:space="preserve">Efficient-agency benchmark (vs Metrolinx 17%)</t>
  </si>
  <si>
    <t xml:space="preserve">Contingency</t>
  </si>
  <si>
    <t xml:space="preserve">Low-risk scope (vs Metrolinx 19%)</t>
  </si>
  <si>
    <t xml:space="preserve">TOTAL CAPITAL COST</t>
  </si>
  <si>
    <t xml:space="preserve">excl. land, financing &amp; escalation</t>
  </si>
  <si>
    <t xml:space="preserve">4 - LINEAR COST STRUCTURE  (Total = markup x [ Fixed + a*route-km + b*stations + c*cars ])</t>
  </si>
  <si>
    <t xml:space="preserve">Fixed - control + depot (does NOT scale)</t>
  </si>
  <si>
    <t xml:space="preserve">$M</t>
  </si>
  <si>
    <t xml:space="preserve">incl. current depot count</t>
  </si>
  <si>
    <t xml:space="preserve">Per route-km - systems common to any profile</t>
  </si>
  <si>
    <t xml:space="preserve">$M/km</t>
  </si>
  <si>
    <t xml:space="preserve">add alignment rate below</t>
  </si>
  <si>
    <t xml:space="preserve">   + Elevated-km alignment add-on</t>
  </si>
  <si>
    <t xml:space="preserve">viaduct</t>
  </si>
  <si>
    <t xml:space="preserve">Per LEAN elevated station (4-car REM)</t>
  </si>
  <si>
    <t xml:space="preserve">$M/stn</t>
  </si>
  <si>
    <t xml:space="preserve">UG station swaps in the $90M box</t>
  </si>
  <si>
    <t xml:space="preserve">Per car (FLEET-SCALING)</t>
  </si>
  <si>
    <t xml:space="preserve">$M/car</t>
  </si>
  <si>
    <t xml:space="preserve">car + stabling + spares</t>
  </si>
  <si>
    <t xml:space="preserve">Total that varies with fleet size (this line)</t>
  </si>
  <si>
    <t xml:space="preserve">per-car coefficient x current fleet</t>
  </si>
  <si>
    <t xml:space="preserve">5 - SUMMARY &amp; SANITY CHECK</t>
  </si>
  <si>
    <t xml:space="preserve">Total capital cost</t>
  </si>
  <si>
    <t xml:space="preserve">Cost per route-km</t>
  </si>
  <si>
    <t xml:space="preserve">Cost per station</t>
  </si>
  <si>
    <t xml:space="preserve">Low-cost high-wage benchmark band</t>
  </si>
  <si>
    <t xml:space="preserve">100 - 125</t>
  </si>
  <si>
    <t xml:space="preserve">6 - ADD SEPARATELY (site-specific, not in linear core)</t>
  </si>
  <si>
    <t xml:space="preserve">Land acquisition &amp; resettlement</t>
  </si>
  <si>
    <t xml:space="preserve">Near-zero if elevated in existing road median/ROW; can dominate in dense CBD.</t>
  </si>
  <si>
    <t xml:space="preserve">Escalation during construction</t>
  </si>
  <si>
    <t xml:space="preserve">~5%/yr on cash-flow-weighted spend; converts constant to nominal outturn.</t>
  </si>
  <si>
    <t xml:space="preserve">Interest / financing during construction</t>
  </si>
  <si>
    <t xml:space="preserve">Depends on funding structure and build duration.</t>
  </si>
  <si>
    <t xml:space="preserve">Taxes &amp; duties</t>
  </si>
  <si>
    <t xml:space="preserve">Rates above are net of tax; add per jurisdiction.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</si>
</sst>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"/>
    <numFmt numFmtId="167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i val="true"/>
      <sz val="11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D9E1F2"/>
      </patternFill>
    </fill>
    <fill>
      <patternFill patternType="solid">
        <fgColor rgb="FFD9E1F2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548235"/>
        <bgColor rgb="FF339966"/>
      </patternFill>
    </fill>
    <fill>
      <patternFill patternType="solid">
        <fgColor rgb="FFE2EFDA"/>
        <bgColor rgb="FFDDEBF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7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7" min="6" style="0" width="31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27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4" customFormat="false" ht="15" hidden="false" customHeight="false" outlineLevel="0" collapsed="false">
      <c r="A4" s="4" t="s">
        <v>3</v>
      </c>
      <c r="B4" s="4"/>
      <c r="C4" s="4"/>
      <c r="D4" s="4"/>
      <c r="E4" s="4"/>
      <c r="F4" s="4"/>
      <c r="G4" s="4"/>
    </row>
    <row r="5" customFormat="false" ht="15" hidden="false" customHeight="false" outlineLevel="0" collapsed="false">
      <c r="A5" s="5" t="s">
        <v>4</v>
      </c>
      <c r="B5" s="6" t="s">
        <v>5</v>
      </c>
      <c r="C5" s="6" t="s">
        <v>6</v>
      </c>
      <c r="D5" s="7"/>
      <c r="E5" s="7"/>
      <c r="F5" s="7"/>
      <c r="G5" s="7"/>
    </row>
    <row r="6" customFormat="false" ht="15" hidden="false" customHeight="false" outlineLevel="0" collapsed="false">
      <c r="A6" s="8" t="s">
        <v>7</v>
      </c>
      <c r="B6" s="9" t="s">
        <v>8</v>
      </c>
      <c r="C6" s="10" t="n">
        <v>20</v>
      </c>
      <c r="D6" s="11"/>
      <c r="E6" s="11"/>
      <c r="F6" s="11"/>
      <c r="G6" s="11"/>
    </row>
    <row r="7" customFormat="false" ht="15" hidden="false" customHeight="false" outlineLevel="0" collapsed="false">
      <c r="A7" s="8" t="s">
        <v>9</v>
      </c>
      <c r="B7" s="9" t="s">
        <v>8</v>
      </c>
      <c r="C7" s="10" t="n">
        <v>0</v>
      </c>
      <c r="D7" s="11"/>
      <c r="E7" s="11"/>
      <c r="F7" s="11"/>
      <c r="G7" s="11"/>
    </row>
    <row r="8" customFormat="false" ht="15" hidden="false" customHeight="false" outlineLevel="0" collapsed="false">
      <c r="A8" s="8" t="s">
        <v>10</v>
      </c>
      <c r="B8" s="9" t="s">
        <v>8</v>
      </c>
      <c r="C8" s="10" t="n">
        <v>0</v>
      </c>
      <c r="D8" s="11"/>
      <c r="E8" s="11"/>
      <c r="F8" s="11"/>
      <c r="G8" s="11"/>
    </row>
    <row r="9" customFormat="false" ht="15" hidden="false" customHeight="false" outlineLevel="0" collapsed="false">
      <c r="A9" s="8" t="s">
        <v>11</v>
      </c>
      <c r="B9" s="9" t="s">
        <v>8</v>
      </c>
      <c r="C9" s="10" t="n">
        <v>0</v>
      </c>
      <c r="D9" s="11"/>
      <c r="E9" s="11"/>
      <c r="F9" s="11"/>
      <c r="G9" s="11"/>
    </row>
    <row r="10" customFormat="false" ht="15" hidden="false" customHeight="false" outlineLevel="0" collapsed="false">
      <c r="A10" s="12" t="s">
        <v>12</v>
      </c>
      <c r="B10" s="9" t="s">
        <v>8</v>
      </c>
      <c r="C10" s="13" t="n">
        <f aca="false">C6+C7+C8+C9</f>
        <v>20</v>
      </c>
      <c r="D10" s="11"/>
      <c r="E10" s="11"/>
      <c r="F10" s="11"/>
      <c r="G10" s="11"/>
    </row>
    <row r="11" customFormat="false" ht="15" hidden="false" customHeight="false" outlineLevel="0" collapsed="false">
      <c r="A11" s="8" t="s">
        <v>13</v>
      </c>
      <c r="B11" s="9" t="s">
        <v>14</v>
      </c>
      <c r="C11" s="10" t="n">
        <v>16</v>
      </c>
      <c r="D11" s="11"/>
      <c r="E11" s="11"/>
      <c r="F11" s="11"/>
      <c r="G11" s="11"/>
    </row>
    <row r="12" customFormat="false" ht="15" hidden="false" customHeight="false" outlineLevel="0" collapsed="false">
      <c r="A12" s="8" t="s">
        <v>15</v>
      </c>
      <c r="B12" s="9" t="s">
        <v>14</v>
      </c>
      <c r="C12" s="10" t="n">
        <v>0</v>
      </c>
      <c r="D12" s="11"/>
      <c r="E12" s="11"/>
      <c r="F12" s="11"/>
      <c r="G12" s="11"/>
    </row>
    <row r="13" customFormat="false" ht="15" hidden="false" customHeight="false" outlineLevel="0" collapsed="false">
      <c r="A13" s="12" t="s">
        <v>16</v>
      </c>
      <c r="B13" s="9" t="s">
        <v>14</v>
      </c>
      <c r="C13" s="13" t="n">
        <f aca="false">C11+C12</f>
        <v>16</v>
      </c>
      <c r="D13" s="11"/>
      <c r="E13" s="11"/>
      <c r="F13" s="11"/>
      <c r="G13" s="11"/>
    </row>
    <row r="14" customFormat="false" ht="15" hidden="false" customHeight="false" outlineLevel="0" collapsed="false">
      <c r="A14" s="8" t="s">
        <v>17</v>
      </c>
      <c r="B14" s="9" t="s">
        <v>18</v>
      </c>
      <c r="C14" s="10" t="n">
        <v>32</v>
      </c>
      <c r="D14" s="11"/>
      <c r="E14" s="11"/>
      <c r="F14" s="11"/>
      <c r="G14" s="11"/>
    </row>
    <row r="15" customFormat="false" ht="15" hidden="false" customHeight="false" outlineLevel="0" collapsed="false">
      <c r="A15" s="8" t="s">
        <v>19</v>
      </c>
      <c r="B15" s="9" t="s">
        <v>14</v>
      </c>
      <c r="C15" s="10" t="n">
        <v>1</v>
      </c>
      <c r="D15" s="11"/>
      <c r="E15" s="11"/>
      <c r="F15" s="11"/>
      <c r="G15" s="11"/>
    </row>
    <row r="16" customFormat="false" ht="15" hidden="false" customHeight="false" outlineLevel="0" collapsed="false">
      <c r="A16" s="4" t="s">
        <v>20</v>
      </c>
      <c r="B16" s="4"/>
      <c r="C16" s="4"/>
      <c r="D16" s="4"/>
      <c r="E16" s="4"/>
      <c r="F16" s="4"/>
      <c r="G16" s="4"/>
    </row>
    <row r="17" customFormat="false" ht="15" hidden="false" customHeight="false" outlineLevel="0" collapsed="false">
      <c r="A17" s="8" t="s">
        <v>21</v>
      </c>
      <c r="B17" s="9" t="s">
        <v>18</v>
      </c>
      <c r="C17" s="10" t="n">
        <v>4</v>
      </c>
      <c r="D17" s="11"/>
      <c r="E17" s="11"/>
      <c r="F17" s="14" t="s">
        <v>22</v>
      </c>
      <c r="G17" s="14"/>
    </row>
    <row r="18" customFormat="false" ht="15" hidden="false" customHeight="false" outlineLevel="0" collapsed="false">
      <c r="A18" s="8" t="s">
        <v>23</v>
      </c>
      <c r="B18" s="9" t="s">
        <v>24</v>
      </c>
      <c r="C18" s="10" t="n">
        <v>76</v>
      </c>
      <c r="D18" s="11"/>
      <c r="E18" s="11"/>
      <c r="F18" s="14" t="s">
        <v>25</v>
      </c>
      <c r="G18" s="14"/>
    </row>
    <row r="19" customFormat="false" ht="15" hidden="false" customHeight="false" outlineLevel="0" collapsed="false">
      <c r="A19" s="8" t="s">
        <v>26</v>
      </c>
      <c r="B19" s="9" t="s">
        <v>27</v>
      </c>
      <c r="C19" s="10" t="n">
        <v>600</v>
      </c>
      <c r="D19" s="11"/>
      <c r="E19" s="11"/>
      <c r="F19" s="14" t="s">
        <v>28</v>
      </c>
      <c r="G19" s="14"/>
    </row>
    <row r="20" customFormat="false" ht="15" hidden="false" customHeight="false" outlineLevel="0" collapsed="false">
      <c r="A20" s="8" t="s">
        <v>29</v>
      </c>
      <c r="B20" s="9" t="s">
        <v>30</v>
      </c>
      <c r="C20" s="15" t="n">
        <f aca="false">$C$14/$C$17</f>
        <v>8</v>
      </c>
      <c r="D20" s="11"/>
      <c r="E20" s="11"/>
      <c r="F20" s="14" t="s">
        <v>31</v>
      </c>
      <c r="G20" s="14"/>
    </row>
    <row r="21" customFormat="false" ht="15" hidden="false" customHeight="false" outlineLevel="0" collapsed="false">
      <c r="A21" s="4" t="s">
        <v>32</v>
      </c>
      <c r="B21" s="4"/>
      <c r="C21" s="4"/>
      <c r="D21" s="4"/>
      <c r="E21" s="4"/>
      <c r="F21" s="4"/>
      <c r="G21" s="4"/>
    </row>
    <row r="22" customFormat="false" ht="15" hidden="false" customHeight="false" outlineLevel="0" collapsed="false">
      <c r="A22" s="5" t="s">
        <v>33</v>
      </c>
      <c r="B22" s="6" t="s">
        <v>5</v>
      </c>
      <c r="C22" s="6" t="s">
        <v>34</v>
      </c>
      <c r="D22" s="6" t="s">
        <v>35</v>
      </c>
      <c r="E22" s="6" t="s">
        <v>36</v>
      </c>
      <c r="F22" s="5" t="s">
        <v>37</v>
      </c>
      <c r="G22" s="5" t="s">
        <v>38</v>
      </c>
    </row>
    <row r="23" customFormat="false" ht="15" hidden="false" customHeight="false" outlineLevel="0" collapsed="false">
      <c r="A23" s="16" t="s">
        <v>39</v>
      </c>
      <c r="B23" s="16"/>
      <c r="C23" s="16"/>
      <c r="D23" s="16"/>
      <c r="E23" s="16"/>
      <c r="F23" s="16"/>
      <c r="G23" s="16"/>
    </row>
    <row r="24" customFormat="false" ht="26.85" hidden="false" customHeight="false" outlineLevel="0" collapsed="false">
      <c r="A24" s="8" t="s">
        <v>40</v>
      </c>
      <c r="B24" s="9" t="s">
        <v>41</v>
      </c>
      <c r="C24" s="17" t="n">
        <v>23</v>
      </c>
      <c r="D24" s="18" t="n">
        <f aca="false">$C$6</f>
        <v>20</v>
      </c>
      <c r="E24" s="19" t="n">
        <f aca="false">C24*D24</f>
        <v>460</v>
      </c>
      <c r="F24" s="20" t="s">
        <v>42</v>
      </c>
      <c r="G24" s="20" t="s">
        <v>43</v>
      </c>
    </row>
    <row r="25" customFormat="false" ht="15" hidden="false" customHeight="false" outlineLevel="0" collapsed="false">
      <c r="A25" s="8" t="s">
        <v>44</v>
      </c>
      <c r="B25" s="9" t="s">
        <v>41</v>
      </c>
      <c r="C25" s="17" t="n">
        <v>8</v>
      </c>
      <c r="D25" s="18" t="n">
        <f aca="false">$C$7</f>
        <v>0</v>
      </c>
      <c r="E25" s="19" t="n">
        <f aca="false">C25*D25</f>
        <v>0</v>
      </c>
      <c r="F25" s="20" t="s">
        <v>45</v>
      </c>
      <c r="G25" s="20" t="s">
        <v>46</v>
      </c>
    </row>
    <row r="26" customFormat="false" ht="15" hidden="false" customHeight="false" outlineLevel="0" collapsed="false">
      <c r="A26" s="8" t="s">
        <v>47</v>
      </c>
      <c r="B26" s="9" t="s">
        <v>41</v>
      </c>
      <c r="C26" s="17" t="n">
        <v>80</v>
      </c>
      <c r="D26" s="18" t="n">
        <f aca="false">$C$8</f>
        <v>0</v>
      </c>
      <c r="E26" s="19" t="n">
        <f aca="false">C26*D26</f>
        <v>0</v>
      </c>
      <c r="F26" s="20" t="s">
        <v>48</v>
      </c>
      <c r="G26" s="20" t="s">
        <v>49</v>
      </c>
    </row>
    <row r="27" customFormat="false" ht="26.85" hidden="false" customHeight="false" outlineLevel="0" collapsed="false">
      <c r="A27" s="8" t="s">
        <v>50</v>
      </c>
      <c r="B27" s="9" t="s">
        <v>41</v>
      </c>
      <c r="C27" s="17" t="n">
        <v>75</v>
      </c>
      <c r="D27" s="18" t="n">
        <f aca="false">$C$9</f>
        <v>0</v>
      </c>
      <c r="E27" s="19" t="n">
        <f aca="false">C27*D27</f>
        <v>0</v>
      </c>
      <c r="F27" s="20" t="s">
        <v>51</v>
      </c>
      <c r="G27" s="20" t="s">
        <v>52</v>
      </c>
    </row>
    <row r="28" customFormat="false" ht="15" hidden="false" customHeight="false" outlineLevel="0" collapsed="false">
      <c r="A28" s="16" t="s">
        <v>53</v>
      </c>
      <c r="B28" s="16"/>
      <c r="C28" s="16"/>
      <c r="D28" s="16"/>
      <c r="E28" s="16"/>
      <c r="F28" s="16"/>
      <c r="G28" s="16"/>
    </row>
    <row r="29" customFormat="false" ht="15" hidden="false" customHeight="false" outlineLevel="0" collapsed="false">
      <c r="A29" s="8" t="s">
        <v>54</v>
      </c>
      <c r="B29" s="9" t="s">
        <v>55</v>
      </c>
      <c r="C29" s="17" t="n">
        <v>4</v>
      </c>
      <c r="D29" s="18" t="n">
        <f aca="false">$C$10</f>
        <v>20</v>
      </c>
      <c r="E29" s="19" t="n">
        <f aca="false">C29*D29</f>
        <v>80</v>
      </c>
      <c r="F29" s="20" t="s">
        <v>56</v>
      </c>
      <c r="G29" s="20" t="s">
        <v>57</v>
      </c>
    </row>
    <row r="30" customFormat="false" ht="15" hidden="false" customHeight="false" outlineLevel="0" collapsed="false">
      <c r="A30" s="16" t="s">
        <v>58</v>
      </c>
      <c r="B30" s="16"/>
      <c r="C30" s="16"/>
      <c r="D30" s="16"/>
      <c r="E30" s="16"/>
      <c r="F30" s="16"/>
      <c r="G30" s="16"/>
    </row>
    <row r="31" customFormat="false" ht="26.85" hidden="false" customHeight="false" outlineLevel="0" collapsed="false">
      <c r="A31" s="8" t="s">
        <v>59</v>
      </c>
      <c r="B31" s="9" t="s">
        <v>60</v>
      </c>
      <c r="C31" s="17" t="n">
        <v>22</v>
      </c>
      <c r="D31" s="18" t="n">
        <f aca="false">$C$11</f>
        <v>16</v>
      </c>
      <c r="E31" s="19" t="n">
        <f aca="false">C31*D31</f>
        <v>352</v>
      </c>
      <c r="F31" s="20" t="s">
        <v>61</v>
      </c>
      <c r="G31" s="20" t="s">
        <v>62</v>
      </c>
    </row>
    <row r="32" customFormat="false" ht="26.85" hidden="false" customHeight="false" outlineLevel="0" collapsed="false">
      <c r="A32" s="8" t="s">
        <v>63</v>
      </c>
      <c r="B32" s="9" t="s">
        <v>60</v>
      </c>
      <c r="C32" s="17" t="n">
        <v>90</v>
      </c>
      <c r="D32" s="18" t="n">
        <f aca="false">$C$12</f>
        <v>0</v>
      </c>
      <c r="E32" s="19" t="n">
        <f aca="false">C32*D32</f>
        <v>0</v>
      </c>
      <c r="F32" s="20" t="s">
        <v>64</v>
      </c>
      <c r="G32" s="20" t="s">
        <v>65</v>
      </c>
    </row>
    <row r="33" customFormat="false" ht="15" hidden="false" customHeight="false" outlineLevel="0" collapsed="false">
      <c r="A33" s="16" t="s">
        <v>66</v>
      </c>
      <c r="B33" s="16"/>
      <c r="C33" s="16"/>
      <c r="D33" s="16"/>
      <c r="E33" s="16"/>
      <c r="F33" s="16"/>
      <c r="G33" s="16"/>
    </row>
    <row r="34" customFormat="false" ht="26.85" hidden="false" customHeight="false" outlineLevel="0" collapsed="false">
      <c r="A34" s="8" t="s">
        <v>67</v>
      </c>
      <c r="B34" s="9" t="s">
        <v>55</v>
      </c>
      <c r="C34" s="17" t="n">
        <v>8.5</v>
      </c>
      <c r="D34" s="18" t="n">
        <f aca="false">$C$10</f>
        <v>20</v>
      </c>
      <c r="E34" s="19" t="n">
        <f aca="false">C34*D34</f>
        <v>170</v>
      </c>
      <c r="F34" s="20" t="s">
        <v>68</v>
      </c>
      <c r="G34" s="20" t="s">
        <v>69</v>
      </c>
    </row>
    <row r="35" customFormat="false" ht="15" hidden="false" customHeight="false" outlineLevel="0" collapsed="false">
      <c r="A35" s="16" t="s">
        <v>70</v>
      </c>
      <c r="B35" s="16"/>
      <c r="C35" s="16"/>
      <c r="D35" s="16"/>
      <c r="E35" s="16"/>
      <c r="F35" s="16"/>
      <c r="G35" s="16"/>
    </row>
    <row r="36" customFormat="false" ht="26.85" hidden="false" customHeight="false" outlineLevel="0" collapsed="false">
      <c r="A36" s="8" t="s">
        <v>71</v>
      </c>
      <c r="B36" s="9" t="s">
        <v>55</v>
      </c>
      <c r="C36" s="17" t="n">
        <v>4</v>
      </c>
      <c r="D36" s="18" t="n">
        <f aca="false">$C$10</f>
        <v>20</v>
      </c>
      <c r="E36" s="19" t="n">
        <f aca="false">C36*D36</f>
        <v>80</v>
      </c>
      <c r="F36" s="20" t="s">
        <v>72</v>
      </c>
      <c r="G36" s="20" t="s">
        <v>73</v>
      </c>
    </row>
    <row r="37" customFormat="false" ht="26.85" hidden="false" customHeight="false" outlineLevel="0" collapsed="false">
      <c r="A37" s="8" t="s">
        <v>74</v>
      </c>
      <c r="B37" s="9" t="s">
        <v>75</v>
      </c>
      <c r="C37" s="17" t="n">
        <v>28</v>
      </c>
      <c r="D37" s="18" t="n">
        <v>1</v>
      </c>
      <c r="E37" s="19" t="n">
        <f aca="false">C37*D37</f>
        <v>28</v>
      </c>
      <c r="F37" s="20" t="s">
        <v>76</v>
      </c>
      <c r="G37" s="20" t="s">
        <v>77</v>
      </c>
    </row>
    <row r="38" customFormat="false" ht="15" hidden="false" customHeight="false" outlineLevel="0" collapsed="false">
      <c r="A38" s="16" t="s">
        <v>78</v>
      </c>
      <c r="B38" s="16"/>
      <c r="C38" s="16"/>
      <c r="D38" s="16"/>
      <c r="E38" s="16"/>
      <c r="F38" s="16"/>
      <c r="G38" s="16"/>
    </row>
    <row r="39" customFormat="false" ht="26.85" hidden="false" customHeight="false" outlineLevel="0" collapsed="false">
      <c r="A39" s="8" t="s">
        <v>79</v>
      </c>
      <c r="B39" s="9" t="s">
        <v>60</v>
      </c>
      <c r="C39" s="17" t="n">
        <v>2.3</v>
      </c>
      <c r="D39" s="18" t="n">
        <f aca="false">$C$13</f>
        <v>16</v>
      </c>
      <c r="E39" s="19" t="n">
        <f aca="false">C39*D39</f>
        <v>36.8</v>
      </c>
      <c r="F39" s="20" t="s">
        <v>80</v>
      </c>
      <c r="G39" s="20" t="s">
        <v>81</v>
      </c>
    </row>
    <row r="40" customFormat="false" ht="15" hidden="false" customHeight="false" outlineLevel="0" collapsed="false">
      <c r="A40" s="8" t="s">
        <v>82</v>
      </c>
      <c r="B40" s="9" t="s">
        <v>60</v>
      </c>
      <c r="C40" s="17" t="n">
        <v>2.3</v>
      </c>
      <c r="D40" s="18" t="n">
        <f aca="false">$C$13</f>
        <v>16</v>
      </c>
      <c r="E40" s="19" t="n">
        <f aca="false">C40*D40</f>
        <v>36.8</v>
      </c>
      <c r="F40" s="20" t="s">
        <v>83</v>
      </c>
      <c r="G40" s="20" t="s">
        <v>84</v>
      </c>
    </row>
    <row r="41" customFormat="false" ht="26.85" hidden="false" customHeight="false" outlineLevel="0" collapsed="false">
      <c r="A41" s="8" t="s">
        <v>85</v>
      </c>
      <c r="B41" s="9" t="s">
        <v>60</v>
      </c>
      <c r="C41" s="17" t="n">
        <v>1.7</v>
      </c>
      <c r="D41" s="18" t="n">
        <f aca="false">$C$13</f>
        <v>16</v>
      </c>
      <c r="E41" s="19" t="n">
        <f aca="false">C41*D41</f>
        <v>27.2</v>
      </c>
      <c r="F41" s="20" t="s">
        <v>83</v>
      </c>
      <c r="G41" s="20" t="s">
        <v>86</v>
      </c>
    </row>
    <row r="42" customFormat="false" ht="15" hidden="false" customHeight="false" outlineLevel="0" collapsed="false">
      <c r="A42" s="21" t="s">
        <v>87</v>
      </c>
      <c r="B42" s="21"/>
      <c r="C42" s="21"/>
      <c r="D42" s="21"/>
      <c r="E42" s="21"/>
      <c r="F42" s="21"/>
      <c r="G42" s="21"/>
    </row>
    <row r="43" customFormat="false" ht="26.85" hidden="false" customHeight="false" outlineLevel="0" collapsed="false">
      <c r="A43" s="22" t="s">
        <v>88</v>
      </c>
      <c r="B43" s="23" t="s">
        <v>89</v>
      </c>
      <c r="C43" s="17" t="n">
        <v>3.4</v>
      </c>
      <c r="D43" s="24" t="n">
        <f aca="false">$C$14</f>
        <v>32</v>
      </c>
      <c r="E43" s="25" t="n">
        <f aca="false">C43*D43</f>
        <v>108.8</v>
      </c>
      <c r="F43" s="20" t="s">
        <v>90</v>
      </c>
      <c r="G43" s="20" t="s">
        <v>91</v>
      </c>
    </row>
    <row r="44" customFormat="false" ht="26.85" hidden="false" customHeight="false" outlineLevel="0" collapsed="false">
      <c r="A44" s="22" t="s">
        <v>92</v>
      </c>
      <c r="B44" s="23" t="s">
        <v>89</v>
      </c>
      <c r="C44" s="17" t="n">
        <v>2.3</v>
      </c>
      <c r="D44" s="24" t="n">
        <f aca="false">$C$14</f>
        <v>32</v>
      </c>
      <c r="E44" s="25" t="n">
        <f aca="false">C44*D44</f>
        <v>73.6</v>
      </c>
      <c r="F44" s="20" t="s">
        <v>93</v>
      </c>
      <c r="G44" s="20" t="s">
        <v>94</v>
      </c>
    </row>
    <row r="45" customFormat="false" ht="26.85" hidden="false" customHeight="false" outlineLevel="0" collapsed="false">
      <c r="A45" s="22" t="s">
        <v>95</v>
      </c>
      <c r="B45" s="23" t="s">
        <v>89</v>
      </c>
      <c r="C45" s="17" t="n">
        <v>0.5</v>
      </c>
      <c r="D45" s="24" t="n">
        <f aca="false">$C$14</f>
        <v>32</v>
      </c>
      <c r="E45" s="25" t="n">
        <f aca="false">C45*D45</f>
        <v>16</v>
      </c>
      <c r="F45" s="20" t="s">
        <v>96</v>
      </c>
      <c r="G45" s="20" t="s">
        <v>97</v>
      </c>
    </row>
    <row r="46" customFormat="false" ht="15" hidden="false" customHeight="false" outlineLevel="0" collapsed="false">
      <c r="A46" s="16" t="s">
        <v>98</v>
      </c>
      <c r="B46" s="16"/>
      <c r="C46" s="16"/>
      <c r="D46" s="16"/>
      <c r="E46" s="16"/>
      <c r="F46" s="16"/>
      <c r="G46" s="16"/>
    </row>
    <row r="47" customFormat="false" ht="15" hidden="false" customHeight="false" outlineLevel="0" collapsed="false">
      <c r="A47" s="8" t="s">
        <v>99</v>
      </c>
      <c r="B47" s="9" t="s">
        <v>100</v>
      </c>
      <c r="C47" s="17" t="n">
        <v>80</v>
      </c>
      <c r="D47" s="18" t="n">
        <f aca="false">$C$15</f>
        <v>1</v>
      </c>
      <c r="E47" s="19" t="n">
        <f aca="false">C47*D47</f>
        <v>80</v>
      </c>
      <c r="F47" s="20" t="s">
        <v>101</v>
      </c>
      <c r="G47" s="20" t="s">
        <v>102</v>
      </c>
    </row>
    <row r="48" customFormat="false" ht="26.85" hidden="false" customHeight="false" outlineLevel="0" collapsed="false">
      <c r="A48" s="8" t="s">
        <v>103</v>
      </c>
      <c r="B48" s="9" t="s">
        <v>100</v>
      </c>
      <c r="C48" s="17" t="n">
        <v>45</v>
      </c>
      <c r="D48" s="18" t="n">
        <f aca="false">$C$15</f>
        <v>1</v>
      </c>
      <c r="E48" s="19" t="n">
        <f aca="false">C48*D48</f>
        <v>45</v>
      </c>
      <c r="F48" s="20" t="s">
        <v>104</v>
      </c>
      <c r="G48" s="20" t="s">
        <v>105</v>
      </c>
    </row>
    <row r="49" customFormat="false" ht="15" hidden="false" customHeight="false" outlineLevel="0" collapsed="false">
      <c r="A49" s="16" t="s">
        <v>106</v>
      </c>
      <c r="B49" s="16"/>
      <c r="C49" s="16"/>
      <c r="D49" s="16"/>
      <c r="E49" s="16"/>
      <c r="F49" s="16"/>
      <c r="G49" s="16"/>
    </row>
    <row r="50" customFormat="false" ht="26.85" hidden="false" customHeight="false" outlineLevel="0" collapsed="false">
      <c r="A50" s="8" t="s">
        <v>107</v>
      </c>
      <c r="B50" s="9" t="s">
        <v>55</v>
      </c>
      <c r="C50" s="17" t="n">
        <v>3</v>
      </c>
      <c r="D50" s="18" t="n">
        <f aca="false">$C$10</f>
        <v>20</v>
      </c>
      <c r="E50" s="19" t="n">
        <f aca="false">C50*D50</f>
        <v>60</v>
      </c>
      <c r="F50" s="20" t="s">
        <v>108</v>
      </c>
      <c r="G50" s="20" t="s">
        <v>109</v>
      </c>
    </row>
    <row r="51" customFormat="false" ht="15" hidden="false" customHeight="false" outlineLevel="0" collapsed="false">
      <c r="A51" s="5" t="s">
        <v>110</v>
      </c>
      <c r="B51" s="7"/>
      <c r="C51" s="7"/>
      <c r="D51" s="7"/>
      <c r="E51" s="15" t="n">
        <f aca="false">SUM(E24:E50)</f>
        <v>1654.2</v>
      </c>
      <c r="F51" s="7"/>
      <c r="G51" s="7"/>
    </row>
    <row r="52" customFormat="false" ht="15" hidden="false" customHeight="false" outlineLevel="0" collapsed="false">
      <c r="A52" s="4" t="s">
        <v>111</v>
      </c>
      <c r="B52" s="4"/>
      <c r="C52" s="4"/>
      <c r="D52" s="4"/>
      <c r="E52" s="4"/>
      <c r="F52" s="4"/>
      <c r="G52" s="4"/>
    </row>
    <row r="53" customFormat="false" ht="26.85" hidden="false" customHeight="false" outlineLevel="0" collapsed="false">
      <c r="A53" s="8" t="s">
        <v>112</v>
      </c>
      <c r="B53" s="11"/>
      <c r="C53" s="26" t="n">
        <v>0.1</v>
      </c>
      <c r="D53" s="11"/>
      <c r="E53" s="19" t="n">
        <f aca="false">C53*E51</f>
        <v>165.42</v>
      </c>
      <c r="F53" s="20" t="s">
        <v>113</v>
      </c>
      <c r="G53" s="11"/>
    </row>
    <row r="54" customFormat="false" ht="26.85" hidden="false" customHeight="false" outlineLevel="0" collapsed="false">
      <c r="A54" s="8" t="s">
        <v>114</v>
      </c>
      <c r="B54" s="11"/>
      <c r="C54" s="26" t="n">
        <v>0.1</v>
      </c>
      <c r="D54" s="11"/>
      <c r="E54" s="19" t="n">
        <f aca="false">C54*E51</f>
        <v>165.42</v>
      </c>
      <c r="F54" s="20" t="s">
        <v>115</v>
      </c>
      <c r="G54" s="11"/>
    </row>
    <row r="55" customFormat="false" ht="15" hidden="false" customHeight="false" outlineLevel="0" collapsed="false">
      <c r="A55" s="27" t="s">
        <v>116</v>
      </c>
      <c r="B55" s="28"/>
      <c r="C55" s="28"/>
      <c r="D55" s="28"/>
      <c r="E55" s="29" t="n">
        <f aca="false">E51+E53+E54</f>
        <v>1985.04</v>
      </c>
      <c r="F55" s="30" t="s">
        <v>117</v>
      </c>
      <c r="G55" s="28"/>
    </row>
    <row r="57" customFormat="false" ht="15" hidden="false" customHeight="false" outlineLevel="0" collapsed="false">
      <c r="A57" s="4" t="s">
        <v>118</v>
      </c>
      <c r="B57" s="4"/>
      <c r="C57" s="4"/>
      <c r="D57" s="4"/>
      <c r="E57" s="4"/>
      <c r="F57" s="4"/>
      <c r="G57" s="4"/>
    </row>
    <row r="58" customFormat="false" ht="15" hidden="false" customHeight="false" outlineLevel="0" collapsed="false">
      <c r="A58" s="31" t="s">
        <v>119</v>
      </c>
      <c r="B58" s="32" t="s">
        <v>120</v>
      </c>
      <c r="C58" s="33" t="n">
        <f aca="false">(1+C53+C54)*(C37+(C47+C48)*$C$15)</f>
        <v>183.6</v>
      </c>
      <c r="D58" s="34"/>
      <c r="E58" s="34"/>
      <c r="F58" s="14" t="s">
        <v>121</v>
      </c>
      <c r="G58" s="14"/>
    </row>
    <row r="59" customFormat="false" ht="15" hidden="false" customHeight="false" outlineLevel="0" collapsed="false">
      <c r="A59" s="31" t="s">
        <v>122</v>
      </c>
      <c r="B59" s="32" t="s">
        <v>123</v>
      </c>
      <c r="C59" s="33" t="n">
        <f aca="false">(1+C53+C54)*(C29+C34+C36+C50)</f>
        <v>23.4</v>
      </c>
      <c r="D59" s="34"/>
      <c r="E59" s="34"/>
      <c r="F59" s="14" t="s">
        <v>124</v>
      </c>
      <c r="G59" s="14"/>
    </row>
    <row r="60" customFormat="false" ht="15" hidden="false" customHeight="false" outlineLevel="0" collapsed="false">
      <c r="A60" s="31" t="s">
        <v>125</v>
      </c>
      <c r="B60" s="32" t="s">
        <v>123</v>
      </c>
      <c r="C60" s="33" t="n">
        <f aca="false">(1+C53+C54)*C24</f>
        <v>27.6</v>
      </c>
      <c r="D60" s="34"/>
      <c r="E60" s="34"/>
      <c r="F60" s="14" t="s">
        <v>126</v>
      </c>
      <c r="G60" s="14"/>
    </row>
    <row r="61" customFormat="false" ht="15" hidden="false" customHeight="false" outlineLevel="0" collapsed="false">
      <c r="A61" s="31" t="s">
        <v>127</v>
      </c>
      <c r="B61" s="32" t="s">
        <v>128</v>
      </c>
      <c r="C61" s="33" t="n">
        <f aca="false">(1+C53+C54)*(C31+C39+C40+C41)</f>
        <v>33.96</v>
      </c>
      <c r="D61" s="34"/>
      <c r="E61" s="34"/>
      <c r="F61" s="14" t="s">
        <v>129</v>
      </c>
      <c r="G61" s="14"/>
    </row>
    <row r="62" customFormat="false" ht="15" hidden="false" customHeight="false" outlineLevel="0" collapsed="false">
      <c r="A62" s="35" t="s">
        <v>130</v>
      </c>
      <c r="B62" s="23" t="s">
        <v>131</v>
      </c>
      <c r="C62" s="36" t="n">
        <f aca="false">(1+C53+C54)*(C43+C44+C45)</f>
        <v>7.44</v>
      </c>
      <c r="D62" s="37"/>
      <c r="E62" s="37"/>
      <c r="F62" s="14" t="s">
        <v>132</v>
      </c>
      <c r="G62" s="14"/>
    </row>
    <row r="63" customFormat="false" ht="15" hidden="false" customHeight="false" outlineLevel="0" collapsed="false">
      <c r="A63" s="35" t="s">
        <v>133</v>
      </c>
      <c r="B63" s="23" t="s">
        <v>120</v>
      </c>
      <c r="C63" s="36" t="n">
        <f aca="false">(1+C53+C54)*(C43+C44+C45)*$C$14</f>
        <v>238.08</v>
      </c>
      <c r="D63" s="37"/>
      <c r="E63" s="37"/>
      <c r="F63" s="14" t="s">
        <v>134</v>
      </c>
      <c r="G63" s="14"/>
    </row>
    <row r="65" customFormat="false" ht="15" hidden="false" customHeight="false" outlineLevel="0" collapsed="false">
      <c r="A65" s="4" t="s">
        <v>135</v>
      </c>
      <c r="B65" s="4"/>
      <c r="C65" s="4"/>
      <c r="D65" s="4"/>
      <c r="E65" s="4"/>
      <c r="F65" s="4"/>
      <c r="G65" s="4"/>
    </row>
    <row r="66" customFormat="false" ht="15" hidden="false" customHeight="false" outlineLevel="0" collapsed="false">
      <c r="A66" s="38" t="s">
        <v>136</v>
      </c>
      <c r="B66" s="32" t="s">
        <v>120</v>
      </c>
      <c r="C66" s="39" t="n">
        <f aca="false">E55</f>
        <v>1985.04</v>
      </c>
      <c r="D66" s="34"/>
      <c r="E66" s="34"/>
      <c r="F66" s="34"/>
      <c r="G66" s="34"/>
    </row>
    <row r="67" customFormat="false" ht="15" hidden="false" customHeight="false" outlineLevel="0" collapsed="false">
      <c r="A67" s="38" t="s">
        <v>137</v>
      </c>
      <c r="B67" s="32" t="s">
        <v>123</v>
      </c>
      <c r="C67" s="39" t="n">
        <f aca="false">E55/$C$10</f>
        <v>99.252</v>
      </c>
      <c r="D67" s="34"/>
      <c r="E67" s="34"/>
      <c r="F67" s="34"/>
      <c r="G67" s="34"/>
    </row>
    <row r="68" customFormat="false" ht="15" hidden="false" customHeight="false" outlineLevel="0" collapsed="false">
      <c r="A68" s="38" t="s">
        <v>138</v>
      </c>
      <c r="B68" s="32" t="s">
        <v>128</v>
      </c>
      <c r="C68" s="39" t="n">
        <f aca="false">E55/$C$13</f>
        <v>124.065</v>
      </c>
      <c r="D68" s="34"/>
      <c r="E68" s="34"/>
      <c r="F68" s="34"/>
      <c r="G68" s="34"/>
    </row>
    <row r="69" customFormat="false" ht="15" hidden="false" customHeight="false" outlineLevel="0" collapsed="false">
      <c r="A69" s="38" t="s">
        <v>139</v>
      </c>
      <c r="B69" s="32" t="s">
        <v>123</v>
      </c>
      <c r="C69" s="40" t="s">
        <v>140</v>
      </c>
      <c r="D69" s="34"/>
      <c r="E69" s="34"/>
      <c r="F69" s="34"/>
      <c r="G69" s="34"/>
    </row>
    <row r="71" customFormat="false" ht="15" hidden="false" customHeight="false" outlineLevel="0" collapsed="false">
      <c r="A71" s="4" t="s">
        <v>141</v>
      </c>
      <c r="B71" s="4"/>
      <c r="C71" s="4"/>
      <c r="D71" s="4"/>
      <c r="E71" s="4"/>
      <c r="F71" s="4"/>
      <c r="G71" s="4"/>
    </row>
    <row r="72" customFormat="false" ht="25.5" hidden="false" customHeight="true" outlineLevel="0" collapsed="false">
      <c r="A72" s="8" t="s">
        <v>142</v>
      </c>
      <c r="B72" s="41" t="s">
        <v>143</v>
      </c>
      <c r="C72" s="41"/>
      <c r="D72" s="41"/>
      <c r="E72" s="41"/>
      <c r="F72" s="41"/>
      <c r="G72" s="41"/>
    </row>
    <row r="73" customFormat="false" ht="25.5" hidden="false" customHeight="true" outlineLevel="0" collapsed="false">
      <c r="A73" s="8" t="s">
        <v>144</v>
      </c>
      <c r="B73" s="41" t="s">
        <v>145</v>
      </c>
      <c r="C73" s="41"/>
      <c r="D73" s="41"/>
      <c r="E73" s="41"/>
      <c r="F73" s="41"/>
      <c r="G73" s="41"/>
    </row>
    <row r="74" customFormat="false" ht="25.5" hidden="false" customHeight="true" outlineLevel="0" collapsed="false">
      <c r="A74" s="8" t="s">
        <v>146</v>
      </c>
      <c r="B74" s="41" t="s">
        <v>147</v>
      </c>
      <c r="C74" s="41"/>
      <c r="D74" s="41"/>
      <c r="E74" s="41"/>
      <c r="F74" s="41"/>
      <c r="G74" s="41"/>
    </row>
    <row r="75" customFormat="false" ht="25.5" hidden="false" customHeight="true" outlineLevel="0" collapsed="false">
      <c r="A75" s="8" t="s">
        <v>148</v>
      </c>
      <c r="B75" s="41" t="s">
        <v>149</v>
      </c>
      <c r="C75" s="41"/>
      <c r="D75" s="41"/>
      <c r="E75" s="41"/>
      <c r="F75" s="41"/>
      <c r="G75" s="41"/>
    </row>
  </sheetData>
  <mergeCells count="33">
    <mergeCell ref="A1:G1"/>
    <mergeCell ref="A2:G2"/>
    <mergeCell ref="A3:G3"/>
    <mergeCell ref="A4:G4"/>
    <mergeCell ref="A16:G16"/>
    <mergeCell ref="F17:G17"/>
    <mergeCell ref="F18:G18"/>
    <mergeCell ref="F19:G19"/>
    <mergeCell ref="F20:G20"/>
    <mergeCell ref="A21:G21"/>
    <mergeCell ref="A23:G23"/>
    <mergeCell ref="A28:G28"/>
    <mergeCell ref="A30:G30"/>
    <mergeCell ref="A33:G33"/>
    <mergeCell ref="A35:G35"/>
    <mergeCell ref="A38:G38"/>
    <mergeCell ref="A42:G42"/>
    <mergeCell ref="A46:G46"/>
    <mergeCell ref="A49:G49"/>
    <mergeCell ref="A52:G52"/>
    <mergeCell ref="A57:G57"/>
    <mergeCell ref="F58:G58"/>
    <mergeCell ref="F59:G59"/>
    <mergeCell ref="F60:G60"/>
    <mergeCell ref="F61:G61"/>
    <mergeCell ref="F62:G62"/>
    <mergeCell ref="F63:G63"/>
    <mergeCell ref="A65:G65"/>
    <mergeCell ref="A71:G71"/>
    <mergeCell ref="B72:G72"/>
    <mergeCell ref="B73:G73"/>
    <mergeCell ref="B74:G74"/>
    <mergeCell ref="B75:G7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2026-07-09T00:14:36Z</dcterms:created>
  <dc:creator>openpyxl</dc:creator>
  <dc:description/>
  <dc:language>en-US</dc:language>
  <cp:lastModifiedBy/>
  <dcterms:modified xsi:type="dcterms:W3CDTF">2026-07-09T00:14:36Z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